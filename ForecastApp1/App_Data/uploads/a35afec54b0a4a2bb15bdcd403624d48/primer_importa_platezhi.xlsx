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katy\Downloads\"/>
    </mc:Choice>
  </mc:AlternateContent>
  <xr:revisionPtr revIDLastSave="0" documentId="13_ncr:1_{966FAF3A-5348-40B3-847B-7B14F8CE927D}" xr6:coauthVersionLast="47" xr6:coauthVersionMax="47" xr10:uidLastSave="{00000000-0000-0000-0000-000000000000}"/>
  <bookViews>
    <workbookView xWindow="458" yWindow="780" windowWidth="21142" windowHeight="12720" xr2:uid="{00000000-000D-0000-FFFF-FFFF00000000}"/>
  </bookViews>
  <sheets>
    <sheet name="Импорт_все_блоки" sheetId="1" r:id="rId1"/>
    <sheet name="Ожидаемый_расчет" sheetId="2" r:id="rId2"/>
    <sheet name="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7" i="2" s="1"/>
</calcChain>
</file>

<file path=xl/sharedStrings.xml><?xml version="1.0" encoding="utf-8"?>
<sst xmlns="http://schemas.openxmlformats.org/spreadsheetml/2006/main" count="87" uniqueCount="69">
  <si>
    <t>Долг перед поставщиками входящий</t>
  </si>
  <si>
    <t>Параметры расчёта</t>
  </si>
  <si>
    <t>Код поставщика</t>
  </si>
  <si>
    <t>Код договора</t>
  </si>
  <si>
    <t>Дата</t>
  </si>
  <si>
    <t>Сумма долга</t>
  </si>
  <si>
    <t>Дата начала расчёта</t>
  </si>
  <si>
    <t>Поставщик</t>
  </si>
  <si>
    <t>Договор</t>
  </si>
  <si>
    <t>Отгрузки от поставщиков фактические</t>
  </si>
  <si>
    <t>Номер заказа</t>
  </si>
  <si>
    <t>Номер документа отгрузки</t>
  </si>
  <si>
    <t>Дата документа отгрузки</t>
  </si>
  <si>
    <t>Сумма отгрузки</t>
  </si>
  <si>
    <t>Справочник поставщиков</t>
  </si>
  <si>
    <t>Название</t>
  </si>
  <si>
    <t>ООО "Поставщик 1"</t>
  </si>
  <si>
    <t>ООО "Поставщик 2"</t>
  </si>
  <si>
    <t>Договоры</t>
  </si>
  <si>
    <t>Номер договора</t>
  </si>
  <si>
    <t>Внешний номер договора</t>
  </si>
  <si>
    <t>Дата договора</t>
  </si>
  <si>
    <t>Сумма договора</t>
  </si>
  <si>
    <t>78Н-24</t>
  </si>
  <si>
    <t>Условия договоров</t>
  </si>
  <si>
    <t>Дата начала действия</t>
  </si>
  <si>
    <t>Дата окончания действия</t>
  </si>
  <si>
    <t>Количество дней отсрочки платежа</t>
  </si>
  <si>
    <t>Заказы поставщикам</t>
  </si>
  <si>
    <t>Дата заказа</t>
  </si>
  <si>
    <t>Сумма заказа</t>
  </si>
  <si>
    <t>Статистика отгрузки заказов от поставщиков</t>
  </si>
  <si>
    <t>Доля отгрузки, %</t>
  </si>
  <si>
    <t>Пример результата расчёта на 01.07.2025</t>
  </si>
  <si>
    <t>Дата расчёта</t>
  </si>
  <si>
    <t>Документ отгрузки</t>
  </si>
  <si>
    <t>Дата отгрузки</t>
  </si>
  <si>
    <t>Использованная сумма</t>
  </si>
  <si>
    <t>Дата платежа по условию</t>
  </si>
  <si>
    <t>Прогнозная дата платежа</t>
  </si>
  <si>
    <t>Комментарий</t>
  </si>
  <si>
    <t>20.07.2025 — воскресенье, перенос на 21.07.2025</t>
  </si>
  <si>
    <t>Частично использована отгрузка; срок оплаты в прошлом, поднято до даты расчёта</t>
  </si>
  <si>
    <t>Итого распределено</t>
  </si>
  <si>
    <t>Непокрытый остаток</t>
  </si>
  <si>
    <t>Описание тестового файла</t>
  </si>
  <si>
    <t>Назначение</t>
  </si>
  <si>
    <t>Это пример Excel-файла для загрузки долгов, отгрузок и справочников в приложение.</t>
  </si>
  <si>
    <t>Основной лист</t>
  </si>
  <si>
    <t>Импорт_все_блоки</t>
  </si>
  <si>
    <t>Дата расчёта для проверки</t>
  </si>
  <si>
    <t>01.07.2025</t>
  </si>
  <si>
    <t>10001</t>
  </si>
  <si>
    <t>245</t>
  </si>
  <si>
    <t>563 258 725</t>
  </si>
  <si>
    <t>Правило</t>
  </si>
  <si>
    <t>Долг распределяется по отгрузкам от новых к старым.</t>
  </si>
  <si>
    <t>Отсрочка</t>
  </si>
  <si>
    <t>30 календарных дней от даты документа отгрузки.</t>
  </si>
  <si>
    <t>Выходные</t>
  </si>
  <si>
    <t>Если дата платежа попадает на выходной, перенос на следующий рабочий день.</t>
  </si>
  <si>
    <t>Просрочка</t>
  </si>
  <si>
    <t>Если дата платежа по условию раньше даты расчёта, прогнозная дата = дата расчёта.</t>
  </si>
  <si>
    <t>Ожидаемый результат</t>
  </si>
  <si>
    <t>См. лист Ожидаемый_расчет.</t>
  </si>
  <si>
    <t>Важно</t>
  </si>
  <si>
    <t>Лист с результатом нужен только для проверки; импортировать нужно лист с исходными данными.</t>
  </si>
  <si>
    <t>Совместимость</t>
  </si>
  <si>
    <t>На основном листе заголовки блоков расположены в колонке B, чтобы подходить под текущий парсер-прототип.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</si>
</sst>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4">
    <font>
      <sz val="11"/>
      <name val="Carlito"/>
    </font>
    <font>
      <b/>
      <sz val="11"/>
      <name val="Carlito"/>
    </font>
    <font>
      <b/>
      <sz val="14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3" borderId="0" xfId="1" applyFont="1" applyFill="1"/>
    <xf numFmtId="0" fontId="1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1" fillId="2" borderId="0" xfId="1" applyFont="1" applyFill="1" applyAlignment="1">
      <alignment horizontal="left"/>
    </xf>
    <xf numFmtId="0" fontId="0" fillId="0" borderId="0" xfId="0"/>
    <xf numFmtId="0" fontId="1" fillId="4" borderId="0" xfId="1" applyFont="1" applyFill="1" applyAlignment="1">
      <alignment horizontal="left"/>
    </xf>
    <xf numFmtId="0" fontId="1" fillId="2" borderId="0" xfId="1" applyFont="1" applyFill="1"/>
    <xf numFmtId="0" fontId="2" fillId="2" borderId="0" xfId="1" applyFont="1" applyFill="1"/>
    <xf numFmtId="0" fontId="0" fillId="0" borderId="0" xfId="1" applyFont="1" applyAlignment="1">
      <alignment wrapText="1"/>
    </xf>
    <xf numFmtId="0" fontId="0" fillId="0" borderId="0" xfId="1" applyNumberFormat="1" applyFont="1"/>
    <xf numFmtId="14" fontId="0" fillId="0" borderId="0" xfId="0" applyNumberForma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7"/>
  <sheetViews>
    <sheetView tabSelected="1" zoomScale="80" workbookViewId="0">
      <selection activeCell="F16" sqref="F16"/>
    </sheetView>
  </sheetViews>
  <sheetFormatPr defaultRowHeight="13.5"/>
  <cols>
    <col min="1" max="1" width="3" customWidth="1"/>
    <col min="2" max="3" width="16" customWidth="1"/>
    <col min="4" max="4" width="26.3125" customWidth="1"/>
    <col min="5" max="5" width="24" customWidth="1"/>
    <col min="6" max="6" width="20" customWidth="1"/>
    <col min="7" max="7" width="16" customWidth="1"/>
    <col min="10" max="10" width="24" customWidth="1"/>
    <col min="11" max="11" width="16" customWidth="1"/>
  </cols>
  <sheetData>
    <row r="1" spans="2:11" ht="11" customHeight="1">
      <c r="B1" s="5" t="s">
        <v>0</v>
      </c>
      <c r="C1" s="6"/>
      <c r="D1" s="6"/>
      <c r="E1" s="6"/>
      <c r="J1" s="8" t="s">
        <v>1</v>
      </c>
      <c r="K1" s="6"/>
    </row>
    <row r="2" spans="2:11" ht="13.9">
      <c r="B2" s="1" t="s">
        <v>2</v>
      </c>
      <c r="C2" s="1" t="s">
        <v>3</v>
      </c>
      <c r="D2" s="1" t="s">
        <v>4</v>
      </c>
      <c r="E2" s="1" t="s">
        <v>5</v>
      </c>
      <c r="J2" s="2" t="s">
        <v>6</v>
      </c>
      <c r="K2" s="3">
        <v>45839</v>
      </c>
    </row>
    <row r="3" spans="2:11" ht="13.9">
      <c r="B3">
        <v>10001</v>
      </c>
      <c r="C3">
        <v>245</v>
      </c>
      <c r="D3" s="3">
        <v>45838</v>
      </c>
      <c r="E3" s="4">
        <v>563258725</v>
      </c>
      <c r="J3" s="2" t="s">
        <v>7</v>
      </c>
      <c r="K3">
        <v>10001</v>
      </c>
    </row>
    <row r="4" spans="2:11" ht="13.9">
      <c r="J4" s="2" t="s">
        <v>8</v>
      </c>
      <c r="K4">
        <v>245</v>
      </c>
    </row>
    <row r="6" spans="2:11" ht="11" customHeight="1">
      <c r="B6" s="5" t="s">
        <v>9</v>
      </c>
      <c r="C6" s="6"/>
      <c r="D6" s="6"/>
      <c r="E6" s="6"/>
      <c r="F6" s="6"/>
      <c r="G6" s="6"/>
    </row>
    <row r="7" spans="2:11" ht="13.9">
      <c r="B7" s="1" t="s">
        <v>2</v>
      </c>
      <c r="C7" s="1" t="s">
        <v>3</v>
      </c>
      <c r="D7" s="1" t="s">
        <v>10</v>
      </c>
      <c r="E7" s="1" t="s">
        <v>11</v>
      </c>
      <c r="F7" s="1" t="s">
        <v>12</v>
      </c>
      <c r="G7" s="1" t="s">
        <v>13</v>
      </c>
    </row>
    <row r="8" spans="2:11">
      <c r="B8">
        <v>10001</v>
      </c>
      <c r="C8">
        <v>245</v>
      </c>
      <c r="D8">
        <v>100000012</v>
      </c>
      <c r="E8">
        <v>25000001</v>
      </c>
      <c r="F8" s="12">
        <v>45782</v>
      </c>
      <c r="G8">
        <v>142542588</v>
      </c>
    </row>
    <row r="9" spans="2:11">
      <c r="B9">
        <v>10001</v>
      </c>
      <c r="C9">
        <v>245</v>
      </c>
      <c r="D9">
        <v>100000012</v>
      </c>
      <c r="E9">
        <v>25000002</v>
      </c>
      <c r="F9" s="3">
        <v>45782</v>
      </c>
      <c r="G9" s="4">
        <v>143783181</v>
      </c>
    </row>
    <row r="10" spans="2:11">
      <c r="B10">
        <v>10001</v>
      </c>
      <c r="C10">
        <v>245</v>
      </c>
      <c r="D10">
        <v>100000012</v>
      </c>
      <c r="E10">
        <v>25000003</v>
      </c>
      <c r="F10" s="3">
        <v>45792</v>
      </c>
      <c r="G10" s="4">
        <v>127085188</v>
      </c>
    </row>
    <row r="11" spans="2:11">
      <c r="B11">
        <v>10001</v>
      </c>
      <c r="C11">
        <v>245</v>
      </c>
      <c r="D11">
        <v>100000015</v>
      </c>
      <c r="E11">
        <v>25000004</v>
      </c>
      <c r="F11" s="3">
        <v>45811</v>
      </c>
      <c r="G11" s="4">
        <v>106876609</v>
      </c>
    </row>
    <row r="12" spans="2:11">
      <c r="B12">
        <v>10001</v>
      </c>
      <c r="C12">
        <v>245</v>
      </c>
      <c r="D12">
        <v>100000015</v>
      </c>
      <c r="E12">
        <v>25000005</v>
      </c>
      <c r="F12" s="3">
        <v>45812</v>
      </c>
      <c r="G12" s="4">
        <v>72510306</v>
      </c>
    </row>
    <row r="13" spans="2:11">
      <c r="B13">
        <v>10001</v>
      </c>
      <c r="C13">
        <v>245</v>
      </c>
      <c r="D13">
        <v>100000017</v>
      </c>
      <c r="E13">
        <v>25000006</v>
      </c>
      <c r="F13" s="3">
        <v>45823</v>
      </c>
      <c r="G13" s="4">
        <v>36359873</v>
      </c>
    </row>
    <row r="14" spans="2:11">
      <c r="B14">
        <v>10001</v>
      </c>
      <c r="C14">
        <v>245</v>
      </c>
      <c r="D14">
        <v>100000017</v>
      </c>
      <c r="E14">
        <v>25000007</v>
      </c>
      <c r="F14" s="3">
        <v>45828</v>
      </c>
      <c r="G14" s="4">
        <v>148767001</v>
      </c>
    </row>
    <row r="15" spans="2:11">
      <c r="B15">
        <v>10001</v>
      </c>
      <c r="C15">
        <v>245</v>
      </c>
      <c r="D15">
        <v>100000017</v>
      </c>
      <c r="E15">
        <v>25000008</v>
      </c>
      <c r="F15" s="3">
        <v>45837</v>
      </c>
      <c r="G15" s="4">
        <v>79752355</v>
      </c>
    </row>
    <row r="16" spans="2:11">
      <c r="F16" s="3"/>
      <c r="G16" s="4"/>
    </row>
    <row r="18" spans="2:6" ht="11" customHeight="1">
      <c r="B18" s="7" t="s">
        <v>14</v>
      </c>
      <c r="C18" s="6"/>
    </row>
    <row r="19" spans="2:6" ht="13.9">
      <c r="B19" s="1" t="s">
        <v>2</v>
      </c>
      <c r="C19" s="1" t="s">
        <v>15</v>
      </c>
    </row>
    <row r="20" spans="2:6">
      <c r="B20">
        <v>10001</v>
      </c>
      <c r="C20" t="s">
        <v>16</v>
      </c>
    </row>
    <row r="21" spans="2:6">
      <c r="B21">
        <v>10002</v>
      </c>
      <c r="C21" t="s">
        <v>17</v>
      </c>
    </row>
    <row r="24" spans="2:6" ht="11" customHeight="1">
      <c r="B24" s="7" t="s">
        <v>18</v>
      </c>
      <c r="C24" s="6"/>
      <c r="D24" s="6"/>
      <c r="E24" s="6"/>
      <c r="F24" s="6"/>
    </row>
    <row r="25" spans="2:6" ht="13.9">
      <c r="B25" s="1" t="s">
        <v>2</v>
      </c>
      <c r="C25" s="1" t="s">
        <v>19</v>
      </c>
      <c r="D25" s="1" t="s">
        <v>20</v>
      </c>
      <c r="E25" s="1" t="s">
        <v>21</v>
      </c>
      <c r="F25" s="1" t="s">
        <v>22</v>
      </c>
    </row>
    <row r="26" spans="2:6">
      <c r="B26">
        <v>10001</v>
      </c>
      <c r="C26">
        <v>245</v>
      </c>
      <c r="D26" t="s">
        <v>23</v>
      </c>
      <c r="E26" s="12">
        <v>45448</v>
      </c>
      <c r="F26">
        <v>1000000000</v>
      </c>
    </row>
    <row r="29" spans="2:6" ht="11" customHeight="1">
      <c r="B29" s="7" t="s">
        <v>24</v>
      </c>
      <c r="C29" s="6"/>
      <c r="D29" s="6"/>
      <c r="E29" s="6"/>
    </row>
    <row r="30" spans="2:6" ht="13.9">
      <c r="B30" s="1" t="s">
        <v>19</v>
      </c>
      <c r="C30" s="1" t="s">
        <v>25</v>
      </c>
      <c r="D30" s="1" t="s">
        <v>26</v>
      </c>
      <c r="E30" s="1" t="s">
        <v>27</v>
      </c>
    </row>
    <row r="31" spans="2:6">
      <c r="B31">
        <v>245</v>
      </c>
      <c r="C31">
        <v>45444</v>
      </c>
      <c r="E31">
        <v>30</v>
      </c>
    </row>
    <row r="32" spans="2:6">
      <c r="E32" s="3"/>
      <c r="F32" s="4"/>
    </row>
    <row r="34" spans="2:6" ht="11" customHeight="1">
      <c r="B34" s="5" t="s">
        <v>28</v>
      </c>
      <c r="C34" s="6"/>
      <c r="D34" s="6"/>
      <c r="E34" s="6"/>
      <c r="F34" s="6"/>
    </row>
    <row r="35" spans="2:6" ht="13.9">
      <c r="B35" s="1" t="s">
        <v>2</v>
      </c>
      <c r="C35" s="1" t="s">
        <v>3</v>
      </c>
      <c r="D35" s="1" t="s">
        <v>10</v>
      </c>
      <c r="E35" s="1" t="s">
        <v>29</v>
      </c>
      <c r="F35" s="1" t="s">
        <v>30</v>
      </c>
    </row>
    <row r="36" spans="2:6">
      <c r="B36">
        <v>10001</v>
      </c>
      <c r="C36">
        <v>245</v>
      </c>
      <c r="D36">
        <v>100000012</v>
      </c>
      <c r="E36">
        <v>45778</v>
      </c>
      <c r="F36">
        <v>413410957</v>
      </c>
    </row>
    <row r="37" spans="2:6">
      <c r="B37">
        <v>10001</v>
      </c>
      <c r="C37" s="11">
        <v>245</v>
      </c>
      <c r="D37" s="11">
        <v>100000015</v>
      </c>
      <c r="E37">
        <v>45807</v>
      </c>
      <c r="F37">
        <v>179386915</v>
      </c>
    </row>
    <row r="38" spans="2:6">
      <c r="B38">
        <v>10001</v>
      </c>
      <c r="C38">
        <v>245</v>
      </c>
      <c r="D38">
        <v>100000017</v>
      </c>
      <c r="E38">
        <v>45818</v>
      </c>
      <c r="F38">
        <v>264879229</v>
      </c>
    </row>
    <row r="41" spans="2:6" ht="11" customHeight="1">
      <c r="B41" s="5" t="s">
        <v>31</v>
      </c>
      <c r="C41" s="6"/>
      <c r="D41" s="3"/>
    </row>
    <row r="42" spans="2:6" ht="13.9">
      <c r="B42" s="1" t="s">
        <v>10</v>
      </c>
      <c r="C42" s="1" t="s">
        <v>32</v>
      </c>
    </row>
    <row r="43" spans="2:6">
      <c r="B43">
        <v>100000012</v>
      </c>
      <c r="C43">
        <v>100</v>
      </c>
      <c r="E43" s="3"/>
      <c r="F43" s="4"/>
    </row>
    <row r="44" spans="2:6">
      <c r="B44">
        <v>100000015</v>
      </c>
      <c r="C44">
        <v>100</v>
      </c>
      <c r="E44" s="3"/>
      <c r="F44" s="4"/>
    </row>
    <row r="45" spans="2:6">
      <c r="B45">
        <v>100000017</v>
      </c>
      <c r="C45">
        <v>100</v>
      </c>
      <c r="E45" s="3"/>
      <c r="F45" s="4"/>
    </row>
    <row r="47" spans="2:6">
      <c r="C47" s="3"/>
      <c r="D47" s="3"/>
    </row>
  </sheetData>
  <mergeCells count="8">
    <mergeCell ref="B34:F34"/>
    <mergeCell ref="B41:C41"/>
    <mergeCell ref="J1:K1"/>
    <mergeCell ref="B1:E1"/>
    <mergeCell ref="B6:G6"/>
    <mergeCell ref="B18:C18"/>
    <mergeCell ref="B24:F24"/>
    <mergeCell ref="B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/>
  </sheetViews>
  <sheetFormatPr defaultRowHeight="13.5"/>
  <cols>
    <col min="1" max="1" width="45.0625" customWidth="1"/>
    <col min="2" max="3" width="11.6875" customWidth="1"/>
    <col min="4" max="4" width="16.3125" customWidth="1"/>
    <col min="5" max="5" width="11.8125" customWidth="1"/>
    <col min="6" max="6" width="20.0625" customWidth="1"/>
    <col min="7" max="7" width="22.0625" customWidth="1"/>
    <col min="8" max="8" width="21.9375" customWidth="1"/>
    <col min="9" max="9" width="55" customWidth="1"/>
  </cols>
  <sheetData>
    <row r="1" spans="1:9" ht="17.649999999999999">
      <c r="A1" s="9" t="s">
        <v>33</v>
      </c>
      <c r="B1" s="6"/>
      <c r="C1" s="6"/>
      <c r="D1" s="6"/>
      <c r="E1" s="6"/>
      <c r="F1" s="6"/>
      <c r="G1" s="6"/>
      <c r="H1" s="6"/>
      <c r="I1" s="10"/>
    </row>
    <row r="3" spans="1:9" ht="13.9">
      <c r="A3" s="2" t="s">
        <v>34</v>
      </c>
      <c r="B3" s="3">
        <v>45839</v>
      </c>
    </row>
    <row r="4" spans="1:9" ht="13.9">
      <c r="A4" s="2" t="s">
        <v>7</v>
      </c>
      <c r="B4">
        <v>10001</v>
      </c>
    </row>
    <row r="5" spans="1:9" ht="13.9">
      <c r="A5" s="2" t="s">
        <v>8</v>
      </c>
      <c r="B5">
        <v>245</v>
      </c>
    </row>
    <row r="6" spans="1:9" ht="13.9">
      <c r="A6" s="2" t="s">
        <v>5</v>
      </c>
      <c r="B6" s="4">
        <v>563258725</v>
      </c>
    </row>
    <row r="8" spans="1:9" ht="13.9">
      <c r="A8" s="1" t="s">
        <v>2</v>
      </c>
      <c r="B8" s="1" t="s">
        <v>3</v>
      </c>
      <c r="C8" s="1" t="s">
        <v>10</v>
      </c>
      <c r="D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</row>
    <row r="9" spans="1:9">
      <c r="A9">
        <v>10001</v>
      </c>
      <c r="B9">
        <v>245</v>
      </c>
      <c r="C9">
        <v>100000017</v>
      </c>
      <c r="D9">
        <v>25000008</v>
      </c>
      <c r="E9" s="3">
        <v>45837</v>
      </c>
      <c r="F9" s="4">
        <v>79752355</v>
      </c>
      <c r="G9" s="3">
        <v>45867</v>
      </c>
      <c r="H9" s="3">
        <v>45867</v>
      </c>
    </row>
    <row r="10" spans="1:9">
      <c r="A10">
        <v>10001</v>
      </c>
      <c r="B10">
        <v>245</v>
      </c>
      <c r="C10">
        <v>100000017</v>
      </c>
      <c r="D10">
        <v>25000007</v>
      </c>
      <c r="E10" s="3">
        <v>45828</v>
      </c>
      <c r="F10" s="4">
        <v>148767001</v>
      </c>
      <c r="G10" s="3">
        <v>45859</v>
      </c>
      <c r="H10" s="3">
        <v>45859</v>
      </c>
      <c r="I10" t="s">
        <v>41</v>
      </c>
    </row>
    <row r="11" spans="1:9">
      <c r="A11">
        <v>10001</v>
      </c>
      <c r="B11">
        <v>245</v>
      </c>
      <c r="C11">
        <v>100000017</v>
      </c>
      <c r="D11">
        <v>25000006</v>
      </c>
      <c r="E11" s="3">
        <v>45823</v>
      </c>
      <c r="F11" s="4">
        <v>36359873</v>
      </c>
      <c r="G11" s="3">
        <v>45853</v>
      </c>
      <c r="H11" s="3">
        <v>45853</v>
      </c>
    </row>
    <row r="12" spans="1:9">
      <c r="A12">
        <v>10001</v>
      </c>
      <c r="B12">
        <v>245</v>
      </c>
      <c r="C12">
        <v>100000015</v>
      </c>
      <c r="D12">
        <v>25000005</v>
      </c>
      <c r="E12" s="3">
        <v>45812</v>
      </c>
      <c r="F12" s="4">
        <v>72510306</v>
      </c>
      <c r="G12" s="3">
        <v>45842</v>
      </c>
      <c r="H12" s="3">
        <v>45842</v>
      </c>
    </row>
    <row r="13" spans="1:9">
      <c r="A13">
        <v>10001</v>
      </c>
      <c r="B13">
        <v>245</v>
      </c>
      <c r="C13">
        <v>100000015</v>
      </c>
      <c r="D13">
        <v>25000004</v>
      </c>
      <c r="E13" s="3">
        <v>45811</v>
      </c>
      <c r="F13" s="4">
        <v>106876609</v>
      </c>
      <c r="G13" s="3">
        <v>45841</v>
      </c>
      <c r="H13" s="3">
        <v>45841</v>
      </c>
    </row>
    <row r="14" spans="1:9">
      <c r="A14">
        <v>10001</v>
      </c>
      <c r="B14">
        <v>245</v>
      </c>
      <c r="C14">
        <v>100000012</v>
      </c>
      <c r="D14">
        <v>25000003</v>
      </c>
      <c r="E14" s="3">
        <v>45792</v>
      </c>
      <c r="F14" s="4">
        <v>118992581</v>
      </c>
      <c r="G14" s="3">
        <v>45824</v>
      </c>
      <c r="H14" s="3">
        <v>45839</v>
      </c>
      <c r="I14" t="s">
        <v>42</v>
      </c>
    </row>
    <row r="16" spans="1:9" ht="13.9">
      <c r="A16" s="2" t="s">
        <v>43</v>
      </c>
      <c r="B16" s="4">
        <f>SUM(F9:F14)</f>
        <v>563258725</v>
      </c>
    </row>
    <row r="17" spans="1:2" ht="13.9">
      <c r="A17" s="2" t="s">
        <v>44</v>
      </c>
      <c r="B17" s="4">
        <f>B6-B16</f>
        <v>0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3.5"/>
  <cols>
    <col min="1" max="1" width="28" customWidth="1"/>
    <col min="2" max="2" width="80" customWidth="1"/>
  </cols>
  <sheetData>
    <row r="1" spans="1:6" ht="17.649999999999999">
      <c r="A1" s="9" t="s">
        <v>45</v>
      </c>
      <c r="B1" s="10"/>
      <c r="C1" s="6"/>
      <c r="D1" s="6"/>
      <c r="E1" s="6"/>
      <c r="F1" s="6"/>
    </row>
    <row r="3" spans="1:6" ht="13.9">
      <c r="A3" s="2" t="s">
        <v>46</v>
      </c>
      <c r="B3" t="s">
        <v>47</v>
      </c>
    </row>
    <row r="4" spans="1:6" ht="13.9">
      <c r="A4" s="2" t="s">
        <v>48</v>
      </c>
      <c r="B4" t="s">
        <v>49</v>
      </c>
    </row>
    <row r="5" spans="1:6" ht="13.9">
      <c r="A5" s="2" t="s">
        <v>50</v>
      </c>
      <c r="B5" t="s">
        <v>51</v>
      </c>
    </row>
    <row r="6" spans="1:6" ht="13.9">
      <c r="A6" s="2" t="s">
        <v>7</v>
      </c>
      <c r="B6" t="s">
        <v>52</v>
      </c>
    </row>
    <row r="7" spans="1:6" ht="13.9">
      <c r="A7" s="2" t="s">
        <v>8</v>
      </c>
      <c r="B7" t="s">
        <v>53</v>
      </c>
    </row>
    <row r="8" spans="1:6" ht="13.9">
      <c r="A8" s="2" t="s">
        <v>5</v>
      </c>
      <c r="B8" t="s">
        <v>54</v>
      </c>
    </row>
    <row r="9" spans="1:6" ht="13.9">
      <c r="A9" s="2" t="s">
        <v>55</v>
      </c>
      <c r="B9" t="s">
        <v>56</v>
      </c>
    </row>
    <row r="10" spans="1:6" ht="13.9">
      <c r="A10" s="2" t="s">
        <v>57</v>
      </c>
      <c r="B10" t="s">
        <v>58</v>
      </c>
    </row>
    <row r="11" spans="1:6" ht="13.9">
      <c r="A11" s="2" t="s">
        <v>59</v>
      </c>
      <c r="B11" t="s">
        <v>60</v>
      </c>
    </row>
    <row r="12" spans="1:6" ht="13.9">
      <c r="A12" s="2" t="s">
        <v>61</v>
      </c>
      <c r="B12" t="s">
        <v>62</v>
      </c>
    </row>
    <row r="13" spans="1:6" ht="13.9">
      <c r="A13" s="2" t="s">
        <v>63</v>
      </c>
      <c r="B13" t="s">
        <v>64</v>
      </c>
    </row>
    <row r="14" spans="1:6" ht="13.9">
      <c r="A14" s="2" t="s">
        <v>65</v>
      </c>
      <c r="B14" t="s">
        <v>66</v>
      </c>
    </row>
    <row r="15" spans="1:6" ht="13.9">
      <c r="A15" s="2" t="s">
        <v>67</v>
      </c>
      <c r="B15" t="s">
        <v>68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Импорт_все_блоки</vt:lpstr>
      <vt:lpstr>Ожидаемый_расчет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Кириллова Екатерина Андреевна</cp:lastModifiedBy>
  <dcterms:modified xsi:type="dcterms:W3CDTF">2026-05-03T16:54:51Z</dcterms:modified>
</cp:coreProperties>
</file>